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43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" l="1"/>
  <c r="I42" i="1" s="1"/>
  <c r="F42" i="1"/>
  <c r="H41" i="1"/>
  <c r="I41" i="1" s="1"/>
  <c r="F41" i="1"/>
  <c r="H40" i="1"/>
  <c r="I40" i="1" s="1"/>
  <c r="F40" i="1"/>
  <c r="H39" i="1"/>
  <c r="I39" i="1" s="1"/>
  <c r="F39" i="1"/>
  <c r="H38" i="1"/>
  <c r="I38" i="1" s="1"/>
  <c r="F38" i="1"/>
  <c r="H37" i="1"/>
  <c r="I37" i="1" s="1"/>
  <c r="F37" i="1"/>
  <c r="H36" i="1"/>
  <c r="I36" i="1" s="1"/>
  <c r="F36" i="1"/>
  <c r="H35" i="1"/>
  <c r="I35" i="1" s="1"/>
  <c r="F35" i="1"/>
  <c r="H34" i="1"/>
  <c r="I34" i="1" s="1"/>
  <c r="H33" i="1"/>
  <c r="I33" i="1" s="1"/>
  <c r="F33" i="1"/>
  <c r="H32" i="1"/>
  <c r="I32" i="1" s="1"/>
  <c r="F32" i="1"/>
  <c r="H31" i="1"/>
  <c r="I31" i="1" s="1"/>
  <c r="F31" i="1"/>
  <c r="I30" i="1"/>
  <c r="H30" i="1"/>
  <c r="F30" i="1"/>
  <c r="H29" i="1"/>
  <c r="I29" i="1" s="1"/>
  <c r="H28" i="1"/>
  <c r="I28" i="1" s="1"/>
  <c r="F28" i="1"/>
  <c r="H27" i="1"/>
  <c r="I27" i="1" s="1"/>
  <c r="F27" i="1"/>
  <c r="H26" i="1"/>
  <c r="I26" i="1" s="1"/>
  <c r="F26" i="1"/>
  <c r="H25" i="1"/>
  <c r="I25" i="1" s="1"/>
  <c r="F25" i="1"/>
  <c r="H24" i="1"/>
  <c r="I24" i="1" s="1"/>
  <c r="H23" i="1"/>
  <c r="I23" i="1" s="1"/>
  <c r="F23" i="1"/>
  <c r="H22" i="1"/>
  <c r="I22" i="1" s="1"/>
  <c r="F22" i="1"/>
  <c r="H21" i="1"/>
  <c r="I21" i="1" s="1"/>
  <c r="F21" i="1"/>
  <c r="H20" i="1"/>
  <c r="I20" i="1" s="1"/>
  <c r="F20" i="1"/>
  <c r="H19" i="1"/>
  <c r="I19" i="1" s="1"/>
  <c r="F19" i="1"/>
  <c r="H18" i="1"/>
  <c r="I18" i="1" s="1"/>
  <c r="F18" i="1"/>
  <c r="H17" i="1"/>
  <c r="I17" i="1" s="1"/>
  <c r="H16" i="1"/>
  <c r="I16" i="1" s="1"/>
  <c r="F16" i="1"/>
  <c r="H15" i="1"/>
  <c r="I15" i="1" s="1"/>
  <c r="F15" i="1"/>
  <c r="H14" i="1"/>
  <c r="I14" i="1" s="1"/>
  <c r="F14" i="1"/>
  <c r="I13" i="1"/>
  <c r="H13" i="1"/>
  <c r="F13" i="1"/>
  <c r="H12" i="1"/>
  <c r="I12" i="1" s="1"/>
  <c r="F12" i="1"/>
  <c r="H11" i="1"/>
  <c r="I11" i="1" s="1"/>
  <c r="F11" i="1"/>
  <c r="H10" i="1"/>
  <c r="I10" i="1" s="1"/>
  <c r="F10" i="1"/>
  <c r="I9" i="1"/>
  <c r="H9" i="1"/>
  <c r="F9" i="1"/>
  <c r="H8" i="1"/>
  <c r="I8" i="1" s="1"/>
  <c r="F8" i="1"/>
  <c r="H7" i="1"/>
  <c r="I7" i="1" s="1"/>
  <c r="F7" i="1"/>
  <c r="H6" i="1"/>
  <c r="I6" i="1" s="1"/>
  <c r="H5" i="1"/>
  <c r="I5" i="1" s="1"/>
  <c r="F5" i="1"/>
  <c r="H4" i="1"/>
  <c r="I4" i="1" s="1"/>
  <c r="F4" i="1"/>
  <c r="H3" i="1"/>
  <c r="I3" i="1" s="1"/>
  <c r="F3" i="1"/>
</calcChain>
</file>

<file path=xl/sharedStrings.xml><?xml version="1.0" encoding="utf-8"?>
<sst xmlns="http://schemas.openxmlformats.org/spreadsheetml/2006/main" count="42" uniqueCount="42">
  <si>
    <t>Session 2023-24</t>
  </si>
  <si>
    <t>Class</t>
  </si>
  <si>
    <t>Admission</t>
  </si>
  <si>
    <t>Annual</t>
  </si>
  <si>
    <t>Tuition Fee</t>
  </si>
  <si>
    <t xml:space="preserve"> Total</t>
  </si>
  <si>
    <t>Option 2</t>
  </si>
  <si>
    <t>L.K.G(N)</t>
  </si>
  <si>
    <t>U.K.G(N)</t>
  </si>
  <si>
    <t>U.K.G (O)</t>
  </si>
  <si>
    <t>I (N)</t>
  </si>
  <si>
    <t>I  (O)</t>
  </si>
  <si>
    <t>II (N)</t>
  </si>
  <si>
    <t>II (O)</t>
  </si>
  <si>
    <t>III (N)</t>
  </si>
  <si>
    <t>III (O)</t>
  </si>
  <si>
    <t>IV (N)</t>
  </si>
  <si>
    <t>IV (O)</t>
  </si>
  <si>
    <t>V (N)</t>
  </si>
  <si>
    <t>V (O)</t>
  </si>
  <si>
    <t>VI (N)</t>
  </si>
  <si>
    <t>VI (O)</t>
  </si>
  <si>
    <t>VII (N)</t>
  </si>
  <si>
    <t>VII (O)</t>
  </si>
  <si>
    <t>VIII (N)</t>
  </si>
  <si>
    <t>VIII (O)</t>
  </si>
  <si>
    <t>IX (N)</t>
  </si>
  <si>
    <t>IX (O)</t>
  </si>
  <si>
    <t>X (N)</t>
  </si>
  <si>
    <t>X (O)</t>
  </si>
  <si>
    <t>XI Com (N)</t>
  </si>
  <si>
    <t>XI Com(O)</t>
  </si>
  <si>
    <t>XII Com (N)</t>
  </si>
  <si>
    <t>XII Com (O)</t>
  </si>
  <si>
    <t>XI NM (N)</t>
  </si>
  <si>
    <t>XI NM (O)</t>
  </si>
  <si>
    <t>XI Med (N)</t>
  </si>
  <si>
    <t>XI Med (O)</t>
  </si>
  <si>
    <t>XII NM (N)</t>
  </si>
  <si>
    <t>XII NM (O)</t>
  </si>
  <si>
    <t>XII Med (N)</t>
  </si>
  <si>
    <t>XII Med 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</si>
</sst>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name val="Arial"/>
    </font>
    <font>
      <b/>
      <sz val="10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0" fillId="2" borderId="4" xfId="0" applyFill="1" applyBorder="1" applyAlignment="1">
      <alignment horizontal="left"/>
    </xf>
    <xf numFmtId="164" fontId="0" fillId="2" borderId="4" xfId="0" applyNumberForma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/>
    <xf numFmtId="0" fontId="2" fillId="3" borderId="2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top" wrapText="1"/>
    </xf>
    <xf numFmtId="0" fontId="2" fillId="2" borderId="6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top" wrapText="1"/>
    </xf>
    <xf numFmtId="0" fontId="2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2"/>
  <sheetViews>
    <sheetView tabSelected="1" workbookViewId="0">
      <selection activeCell="M4" sqref="M4"/>
    </sheetView>
  </sheetViews>
  <sheetFormatPr defaultRowHeight="15.75" x14ac:dyDescent="0.25"/>
  <cols>
    <col min="1" max="1" width="3.85546875" customWidth="1"/>
    <col min="2" max="2" width="10.5703125" customWidth="1"/>
    <col min="3" max="3" width="8.85546875" customWidth="1"/>
    <col min="4" max="4" width="7.85546875" customWidth="1"/>
    <col min="5" max="5" width="10" style="38" customWidth="1"/>
    <col min="7" max="7" width="3.85546875" customWidth="1"/>
    <col min="8" max="8" width="6" customWidth="1"/>
    <col min="9" max="9" width="6.85546875" style="4" customWidth="1"/>
    <col min="10" max="10" width="8.7109375" style="5"/>
  </cols>
  <sheetData>
    <row r="1" spans="2:10" ht="18.75" x14ac:dyDescent="0.3">
      <c r="B1" s="1"/>
      <c r="C1" s="2"/>
      <c r="D1" s="2" t="s">
        <v>0</v>
      </c>
      <c r="E1" s="3"/>
      <c r="F1" s="1"/>
      <c r="G1" s="1"/>
    </row>
    <row r="2" spans="2:10" ht="60" customHeight="1" x14ac:dyDescent="0.25">
      <c r="B2" s="6" t="s">
        <v>1</v>
      </c>
      <c r="C2" s="6" t="s">
        <v>2</v>
      </c>
      <c r="D2" s="6" t="s">
        <v>3</v>
      </c>
      <c r="E2" s="7" t="s">
        <v>4</v>
      </c>
      <c r="F2" s="6" t="s">
        <v>5</v>
      </c>
      <c r="G2" s="6"/>
      <c r="H2" s="39" t="s">
        <v>6</v>
      </c>
      <c r="I2" s="39"/>
      <c r="J2" s="39"/>
    </row>
    <row r="3" spans="2:10" s="15" customFormat="1" ht="16.5" thickBot="1" x14ac:dyDescent="0.3">
      <c r="B3" s="8" t="s">
        <v>7</v>
      </c>
      <c r="C3" s="9">
        <v>6000</v>
      </c>
      <c r="D3" s="9">
        <v>6600</v>
      </c>
      <c r="E3" s="10">
        <v>1600</v>
      </c>
      <c r="F3" s="9">
        <f>SUM(C3:E3)</f>
        <v>14200</v>
      </c>
      <c r="G3" s="11"/>
      <c r="H3" s="12">
        <f t="shared" ref="H3:H42" si="0">SUM(C3,D3,E3*12)</f>
        <v>31800</v>
      </c>
      <c r="I3" s="13">
        <f t="shared" ref="I3:I42" si="1">H3/12</f>
        <v>2650</v>
      </c>
      <c r="J3" s="14"/>
    </row>
    <row r="4" spans="2:10" ht="16.5" thickBot="1" x14ac:dyDescent="0.3">
      <c r="B4" s="16" t="s">
        <v>8</v>
      </c>
      <c r="C4" s="17">
        <v>6000</v>
      </c>
      <c r="D4" s="9">
        <v>6600</v>
      </c>
      <c r="E4" s="18">
        <v>1600</v>
      </c>
      <c r="F4" s="17">
        <f>SUM(C4:E4)</f>
        <v>14200</v>
      </c>
      <c r="G4" s="19"/>
      <c r="H4" s="20">
        <f t="shared" si="0"/>
        <v>31800</v>
      </c>
      <c r="I4" s="21">
        <f t="shared" si="1"/>
        <v>2650</v>
      </c>
      <c r="J4" s="22"/>
    </row>
    <row r="5" spans="2:10" s="15" customFormat="1" ht="16.5" thickBot="1" x14ac:dyDescent="0.3">
      <c r="B5" s="16" t="s">
        <v>9</v>
      </c>
      <c r="C5" s="17">
        <v>0</v>
      </c>
      <c r="D5" s="9">
        <v>6600</v>
      </c>
      <c r="E5" s="18">
        <v>1600</v>
      </c>
      <c r="F5" s="17">
        <f>SUM(C5:E5)</f>
        <v>8200</v>
      </c>
      <c r="G5" s="19"/>
      <c r="H5" s="20">
        <f t="shared" si="0"/>
        <v>25800</v>
      </c>
      <c r="I5" s="23">
        <f t="shared" si="1"/>
        <v>2150</v>
      </c>
      <c r="J5" s="24">
        <v>2150</v>
      </c>
    </row>
    <row r="6" spans="2:10" ht="12.6" customHeight="1" thickBot="1" x14ac:dyDescent="0.3">
      <c r="B6" s="25"/>
      <c r="C6" s="26"/>
      <c r="D6" s="26"/>
      <c r="E6" s="27"/>
      <c r="F6" s="26"/>
      <c r="G6" s="28"/>
      <c r="H6" s="20">
        <f t="shared" si="0"/>
        <v>0</v>
      </c>
      <c r="I6" s="21">
        <f t="shared" si="1"/>
        <v>0</v>
      </c>
      <c r="J6" s="22"/>
    </row>
    <row r="7" spans="2:10" s="15" customFormat="1" ht="16.5" thickBot="1" x14ac:dyDescent="0.3">
      <c r="B7" s="8" t="s">
        <v>10</v>
      </c>
      <c r="C7" s="9">
        <v>7000</v>
      </c>
      <c r="D7" s="9">
        <v>9000</v>
      </c>
      <c r="E7" s="10">
        <v>1800</v>
      </c>
      <c r="F7" s="9">
        <f t="shared" ref="F7:F42" si="2">SUM(C7:E7)</f>
        <v>17800</v>
      </c>
      <c r="G7" s="11"/>
      <c r="H7" s="20">
        <f t="shared" si="0"/>
        <v>37600</v>
      </c>
      <c r="I7" s="21">
        <f t="shared" si="1"/>
        <v>3133.3333333333335</v>
      </c>
      <c r="J7" s="24"/>
    </row>
    <row r="8" spans="2:10" s="15" customFormat="1" ht="16.5" thickBot="1" x14ac:dyDescent="0.3">
      <c r="B8" s="8" t="s">
        <v>11</v>
      </c>
      <c r="C8" s="9">
        <v>0</v>
      </c>
      <c r="D8" s="9">
        <v>9000</v>
      </c>
      <c r="E8" s="10">
        <v>1800</v>
      </c>
      <c r="F8" s="9">
        <f t="shared" si="2"/>
        <v>10800</v>
      </c>
      <c r="G8" s="11"/>
      <c r="H8" s="20">
        <f t="shared" si="0"/>
        <v>30600</v>
      </c>
      <c r="I8" s="23">
        <f t="shared" si="1"/>
        <v>2550</v>
      </c>
      <c r="J8" s="24">
        <v>2550</v>
      </c>
    </row>
    <row r="9" spans="2:10" ht="16.5" thickBot="1" x14ac:dyDescent="0.3">
      <c r="B9" s="16" t="s">
        <v>12</v>
      </c>
      <c r="C9" s="9">
        <v>7000</v>
      </c>
      <c r="D9" s="9">
        <v>9000</v>
      </c>
      <c r="E9" s="18">
        <v>2000</v>
      </c>
      <c r="F9" s="17">
        <f t="shared" si="2"/>
        <v>18000</v>
      </c>
      <c r="G9" s="19"/>
      <c r="H9" s="20">
        <f t="shared" si="0"/>
        <v>40000</v>
      </c>
      <c r="I9" s="21">
        <f t="shared" si="1"/>
        <v>3333.3333333333335</v>
      </c>
      <c r="J9" s="22"/>
    </row>
    <row r="10" spans="2:10" s="15" customFormat="1" ht="16.5" thickBot="1" x14ac:dyDescent="0.3">
      <c r="B10" s="16" t="s">
        <v>13</v>
      </c>
      <c r="C10" s="9">
        <v>0</v>
      </c>
      <c r="D10" s="9">
        <v>9000</v>
      </c>
      <c r="E10" s="18">
        <v>2000</v>
      </c>
      <c r="F10" s="17">
        <f t="shared" si="2"/>
        <v>11000</v>
      </c>
      <c r="G10" s="19"/>
      <c r="H10" s="20">
        <f t="shared" si="0"/>
        <v>33000</v>
      </c>
      <c r="I10" s="23">
        <f t="shared" si="1"/>
        <v>2750</v>
      </c>
      <c r="J10" s="24">
        <v>2750</v>
      </c>
    </row>
    <row r="11" spans="2:10" s="15" customFormat="1" ht="16.5" thickBot="1" x14ac:dyDescent="0.3">
      <c r="B11" s="8" t="s">
        <v>14</v>
      </c>
      <c r="C11" s="9">
        <v>7000</v>
      </c>
      <c r="D11" s="9">
        <v>9000</v>
      </c>
      <c r="E11" s="10">
        <v>2000</v>
      </c>
      <c r="F11" s="9">
        <f t="shared" si="2"/>
        <v>18000</v>
      </c>
      <c r="G11" s="11"/>
      <c r="H11" s="20">
        <f t="shared" si="0"/>
        <v>40000</v>
      </c>
      <c r="I11" s="21">
        <f t="shared" si="1"/>
        <v>3333.3333333333335</v>
      </c>
      <c r="J11" s="24"/>
    </row>
    <row r="12" spans="2:10" ht="16.5" thickBot="1" x14ac:dyDescent="0.3">
      <c r="B12" s="8" t="s">
        <v>15</v>
      </c>
      <c r="C12" s="9">
        <v>0</v>
      </c>
      <c r="D12" s="9">
        <v>9000</v>
      </c>
      <c r="E12" s="10">
        <v>2000</v>
      </c>
      <c r="F12" s="9">
        <f t="shared" si="2"/>
        <v>11000</v>
      </c>
      <c r="G12" s="11"/>
      <c r="H12" s="20">
        <f t="shared" si="0"/>
        <v>33000</v>
      </c>
      <c r="I12" s="23">
        <f t="shared" si="1"/>
        <v>2750</v>
      </c>
      <c r="J12" s="22">
        <v>2750</v>
      </c>
    </row>
    <row r="13" spans="2:10" ht="16.5" thickBot="1" x14ac:dyDescent="0.3">
      <c r="B13" s="16" t="s">
        <v>16</v>
      </c>
      <c r="C13" s="9">
        <v>7000</v>
      </c>
      <c r="D13" s="9">
        <v>9000</v>
      </c>
      <c r="E13" s="18">
        <v>2250</v>
      </c>
      <c r="F13" s="17">
        <f t="shared" si="2"/>
        <v>18250</v>
      </c>
      <c r="G13" s="19"/>
      <c r="H13" s="20">
        <f t="shared" si="0"/>
        <v>43000</v>
      </c>
      <c r="I13" s="21">
        <f t="shared" si="1"/>
        <v>3583.3333333333335</v>
      </c>
      <c r="J13" s="22"/>
    </row>
    <row r="14" spans="2:10" ht="16.5" thickBot="1" x14ac:dyDescent="0.3">
      <c r="B14" s="16" t="s">
        <v>17</v>
      </c>
      <c r="C14" s="9">
        <v>0</v>
      </c>
      <c r="D14" s="9">
        <v>9000</v>
      </c>
      <c r="E14" s="18">
        <v>2250</v>
      </c>
      <c r="F14" s="17">
        <f t="shared" si="2"/>
        <v>11250</v>
      </c>
      <c r="G14" s="19"/>
      <c r="H14" s="20">
        <f t="shared" si="0"/>
        <v>36000</v>
      </c>
      <c r="I14" s="23">
        <f t="shared" si="1"/>
        <v>3000</v>
      </c>
      <c r="J14" s="22">
        <v>3000</v>
      </c>
    </row>
    <row r="15" spans="2:10" s="15" customFormat="1" ht="16.5" thickBot="1" x14ac:dyDescent="0.3">
      <c r="B15" s="8" t="s">
        <v>18</v>
      </c>
      <c r="C15" s="9">
        <v>7000</v>
      </c>
      <c r="D15" s="9">
        <v>9000</v>
      </c>
      <c r="E15" s="18">
        <v>2400</v>
      </c>
      <c r="F15" s="9">
        <f t="shared" si="2"/>
        <v>18400</v>
      </c>
      <c r="G15" s="11"/>
      <c r="H15" s="20">
        <f t="shared" si="0"/>
        <v>44800</v>
      </c>
      <c r="I15" s="21">
        <f t="shared" si="1"/>
        <v>3733.3333333333335</v>
      </c>
      <c r="J15" s="24"/>
    </row>
    <row r="16" spans="2:10" ht="16.5" thickBot="1" x14ac:dyDescent="0.3">
      <c r="B16" s="8" t="s">
        <v>19</v>
      </c>
      <c r="C16" s="9">
        <v>0</v>
      </c>
      <c r="D16" s="9">
        <v>9000</v>
      </c>
      <c r="E16" s="18">
        <v>2400</v>
      </c>
      <c r="F16" s="9">
        <f t="shared" si="2"/>
        <v>11400</v>
      </c>
      <c r="G16" s="11"/>
      <c r="H16" s="20">
        <f t="shared" si="0"/>
        <v>37800</v>
      </c>
      <c r="I16" s="23">
        <f t="shared" si="1"/>
        <v>3150</v>
      </c>
      <c r="J16" s="22">
        <v>3150</v>
      </c>
    </row>
    <row r="17" spans="2:10" ht="16.5" thickBot="1" x14ac:dyDescent="0.3">
      <c r="B17" s="25"/>
      <c r="C17" s="26"/>
      <c r="D17" s="26"/>
      <c r="E17" s="27"/>
      <c r="F17" s="26"/>
      <c r="G17" s="28"/>
      <c r="H17" s="20">
        <f t="shared" si="0"/>
        <v>0</v>
      </c>
      <c r="I17" s="21">
        <f t="shared" si="1"/>
        <v>0</v>
      </c>
      <c r="J17" s="22"/>
    </row>
    <row r="18" spans="2:10" ht="16.5" thickBot="1" x14ac:dyDescent="0.3">
      <c r="B18" s="16" t="s">
        <v>20</v>
      </c>
      <c r="C18" s="9">
        <v>8000</v>
      </c>
      <c r="D18" s="17">
        <v>10000</v>
      </c>
      <c r="E18" s="18">
        <v>2600</v>
      </c>
      <c r="F18" s="17">
        <f t="shared" si="2"/>
        <v>20600</v>
      </c>
      <c r="G18" s="19"/>
      <c r="H18" s="20">
        <f t="shared" si="0"/>
        <v>49200</v>
      </c>
      <c r="I18" s="21">
        <f t="shared" si="1"/>
        <v>4100</v>
      </c>
      <c r="J18" s="22"/>
    </row>
    <row r="19" spans="2:10" ht="16.5" thickBot="1" x14ac:dyDescent="0.3">
      <c r="B19" s="16" t="s">
        <v>21</v>
      </c>
      <c r="C19" s="9">
        <v>0</v>
      </c>
      <c r="D19" s="17">
        <v>10000</v>
      </c>
      <c r="E19" s="18">
        <v>2600</v>
      </c>
      <c r="F19" s="17">
        <f t="shared" si="2"/>
        <v>12600</v>
      </c>
      <c r="G19" s="19"/>
      <c r="H19" s="20">
        <f t="shared" si="0"/>
        <v>41200</v>
      </c>
      <c r="I19" s="23">
        <f t="shared" si="1"/>
        <v>3433.3333333333335</v>
      </c>
      <c r="J19" s="22">
        <v>3450</v>
      </c>
    </row>
    <row r="20" spans="2:10" ht="16.5" thickBot="1" x14ac:dyDescent="0.3">
      <c r="B20" s="8" t="s">
        <v>22</v>
      </c>
      <c r="C20" s="9">
        <v>8000</v>
      </c>
      <c r="D20" s="17">
        <v>10000</v>
      </c>
      <c r="E20" s="18">
        <v>2800</v>
      </c>
      <c r="F20" s="9">
        <f t="shared" si="2"/>
        <v>20800</v>
      </c>
      <c r="G20" s="11"/>
      <c r="H20" s="20">
        <f t="shared" si="0"/>
        <v>51600</v>
      </c>
      <c r="I20" s="21">
        <f t="shared" si="1"/>
        <v>4300</v>
      </c>
      <c r="J20" s="22"/>
    </row>
    <row r="21" spans="2:10" ht="16.5" thickBot="1" x14ac:dyDescent="0.3">
      <c r="B21" s="8" t="s">
        <v>23</v>
      </c>
      <c r="C21" s="9">
        <v>0</v>
      </c>
      <c r="D21" s="17">
        <v>10000</v>
      </c>
      <c r="E21" s="18">
        <v>2800</v>
      </c>
      <c r="F21" s="9">
        <f t="shared" si="2"/>
        <v>12800</v>
      </c>
      <c r="G21" s="11"/>
      <c r="H21" s="20">
        <f t="shared" si="0"/>
        <v>43600</v>
      </c>
      <c r="I21" s="23">
        <f t="shared" si="1"/>
        <v>3633.3333333333335</v>
      </c>
      <c r="J21" s="22">
        <v>3650</v>
      </c>
    </row>
    <row r="22" spans="2:10" ht="16.5" thickBot="1" x14ac:dyDescent="0.3">
      <c r="B22" s="16" t="s">
        <v>24</v>
      </c>
      <c r="C22" s="9">
        <v>8000</v>
      </c>
      <c r="D22" s="17">
        <v>10000</v>
      </c>
      <c r="E22" s="18">
        <v>2800</v>
      </c>
      <c r="F22" s="17">
        <f t="shared" si="2"/>
        <v>20800</v>
      </c>
      <c r="G22" s="19"/>
      <c r="H22" s="20">
        <f t="shared" si="0"/>
        <v>51600</v>
      </c>
      <c r="I22" s="21">
        <f t="shared" si="1"/>
        <v>4300</v>
      </c>
      <c r="J22" s="22"/>
    </row>
    <row r="23" spans="2:10" ht="16.5" thickBot="1" x14ac:dyDescent="0.3">
      <c r="B23" s="16" t="s">
        <v>25</v>
      </c>
      <c r="C23" s="9">
        <v>0</v>
      </c>
      <c r="D23" s="17">
        <v>10000</v>
      </c>
      <c r="E23" s="18">
        <v>2800</v>
      </c>
      <c r="F23" s="17">
        <f t="shared" si="2"/>
        <v>12800</v>
      </c>
      <c r="G23" s="19"/>
      <c r="H23" s="20">
        <f t="shared" si="0"/>
        <v>43600</v>
      </c>
      <c r="I23" s="23">
        <f t="shared" si="1"/>
        <v>3633.3333333333335</v>
      </c>
      <c r="J23" s="22">
        <v>3650</v>
      </c>
    </row>
    <row r="24" spans="2:10" ht="16.5" thickBot="1" x14ac:dyDescent="0.3">
      <c r="B24" s="16"/>
      <c r="C24" s="17"/>
      <c r="D24" s="17"/>
      <c r="E24" s="18"/>
      <c r="F24" s="17"/>
      <c r="G24" s="19"/>
      <c r="H24" s="20">
        <f t="shared" si="0"/>
        <v>0</v>
      </c>
      <c r="I24" s="21">
        <f t="shared" si="1"/>
        <v>0</v>
      </c>
      <c r="J24" s="22"/>
    </row>
    <row r="25" spans="2:10" ht="16.5" thickBot="1" x14ac:dyDescent="0.3">
      <c r="B25" s="8" t="s">
        <v>26</v>
      </c>
      <c r="C25" s="9">
        <v>10000</v>
      </c>
      <c r="D25" s="17">
        <v>11000</v>
      </c>
      <c r="E25" s="10">
        <v>3000</v>
      </c>
      <c r="F25" s="9">
        <f t="shared" si="2"/>
        <v>24000</v>
      </c>
      <c r="G25" s="11"/>
      <c r="H25" s="20">
        <f t="shared" si="0"/>
        <v>57000</v>
      </c>
      <c r="I25" s="21">
        <f t="shared" si="1"/>
        <v>4750</v>
      </c>
      <c r="J25" s="22"/>
    </row>
    <row r="26" spans="2:10" ht="16.5" thickBot="1" x14ac:dyDescent="0.3">
      <c r="B26" s="8" t="s">
        <v>27</v>
      </c>
      <c r="C26" s="9">
        <v>0</v>
      </c>
      <c r="D26" s="17">
        <v>11000</v>
      </c>
      <c r="E26" s="10">
        <v>3000</v>
      </c>
      <c r="F26" s="9">
        <f t="shared" si="2"/>
        <v>14000</v>
      </c>
      <c r="G26" s="11"/>
      <c r="H26" s="20">
        <f t="shared" si="0"/>
        <v>47000</v>
      </c>
      <c r="I26" s="23">
        <f t="shared" si="1"/>
        <v>3916.6666666666665</v>
      </c>
      <c r="J26" s="22">
        <v>3950</v>
      </c>
    </row>
    <row r="27" spans="2:10" ht="16.5" thickBot="1" x14ac:dyDescent="0.3">
      <c r="B27" s="16" t="s">
        <v>28</v>
      </c>
      <c r="C27" s="17">
        <v>20000</v>
      </c>
      <c r="D27" s="17">
        <v>11000</v>
      </c>
      <c r="E27" s="18">
        <v>3250</v>
      </c>
      <c r="F27" s="17">
        <f t="shared" si="2"/>
        <v>34250</v>
      </c>
      <c r="G27" s="19"/>
      <c r="H27" s="20">
        <f t="shared" si="0"/>
        <v>70000</v>
      </c>
      <c r="I27" s="21">
        <f t="shared" si="1"/>
        <v>5833.333333333333</v>
      </c>
      <c r="J27" s="22"/>
    </row>
    <row r="28" spans="2:10" ht="16.5" thickBot="1" x14ac:dyDescent="0.3">
      <c r="B28" s="16" t="s">
        <v>29</v>
      </c>
      <c r="C28" s="17">
        <v>0</v>
      </c>
      <c r="D28" s="17">
        <v>11000</v>
      </c>
      <c r="E28" s="18">
        <v>3250</v>
      </c>
      <c r="F28" s="17">
        <f t="shared" si="2"/>
        <v>14250</v>
      </c>
      <c r="G28" s="19"/>
      <c r="H28" s="20">
        <f t="shared" si="0"/>
        <v>50000</v>
      </c>
      <c r="I28" s="23">
        <f t="shared" si="1"/>
        <v>4166.666666666667</v>
      </c>
      <c r="J28" s="22">
        <v>4200</v>
      </c>
    </row>
    <row r="29" spans="2:10" ht="16.5" thickBot="1" x14ac:dyDescent="0.3">
      <c r="B29" s="16"/>
      <c r="C29" s="17"/>
      <c r="D29" s="17"/>
      <c r="E29" s="18"/>
      <c r="F29" s="17"/>
      <c r="G29" s="19"/>
      <c r="H29" s="20">
        <f t="shared" si="0"/>
        <v>0</v>
      </c>
      <c r="I29" s="21">
        <f t="shared" si="1"/>
        <v>0</v>
      </c>
      <c r="J29" s="22"/>
    </row>
    <row r="30" spans="2:10" ht="16.5" thickBot="1" x14ac:dyDescent="0.3">
      <c r="B30" s="29" t="s">
        <v>30</v>
      </c>
      <c r="C30" s="30">
        <v>10000</v>
      </c>
      <c r="D30" s="30">
        <v>12500</v>
      </c>
      <c r="E30" s="31">
        <v>3500</v>
      </c>
      <c r="F30" s="9">
        <f t="shared" si="2"/>
        <v>26000</v>
      </c>
      <c r="G30" s="11"/>
      <c r="H30" s="20">
        <f t="shared" si="0"/>
        <v>64500</v>
      </c>
      <c r="I30" s="21">
        <f t="shared" si="1"/>
        <v>5375</v>
      </c>
      <c r="J30" s="22"/>
    </row>
    <row r="31" spans="2:10" ht="16.5" thickBot="1" x14ac:dyDescent="0.3">
      <c r="B31" s="8" t="s">
        <v>31</v>
      </c>
      <c r="C31" s="9">
        <v>0</v>
      </c>
      <c r="D31" s="30">
        <v>12500</v>
      </c>
      <c r="E31" s="10">
        <v>3500</v>
      </c>
      <c r="F31" s="9">
        <f t="shared" si="2"/>
        <v>16000</v>
      </c>
      <c r="G31" s="11"/>
      <c r="H31" s="20">
        <f t="shared" si="0"/>
        <v>54500</v>
      </c>
      <c r="I31" s="23">
        <f t="shared" si="1"/>
        <v>4541.666666666667</v>
      </c>
      <c r="J31" s="22">
        <v>4550</v>
      </c>
    </row>
    <row r="32" spans="2:10" ht="16.5" thickBot="1" x14ac:dyDescent="0.3">
      <c r="B32" s="16" t="s">
        <v>32</v>
      </c>
      <c r="C32" s="17">
        <v>20000</v>
      </c>
      <c r="D32" s="32">
        <v>15000</v>
      </c>
      <c r="E32" s="18">
        <v>3700</v>
      </c>
      <c r="F32" s="17">
        <f t="shared" si="2"/>
        <v>38700</v>
      </c>
      <c r="G32" s="19"/>
      <c r="H32" s="20">
        <f t="shared" si="0"/>
        <v>79400</v>
      </c>
      <c r="I32" s="21">
        <f t="shared" si="1"/>
        <v>6616.666666666667</v>
      </c>
      <c r="J32" s="22"/>
    </row>
    <row r="33" spans="2:10" ht="16.5" thickBot="1" x14ac:dyDescent="0.3">
      <c r="B33" s="16" t="s">
        <v>33</v>
      </c>
      <c r="C33" s="17">
        <v>0</v>
      </c>
      <c r="D33" s="32">
        <v>15000</v>
      </c>
      <c r="E33" s="18">
        <v>3700</v>
      </c>
      <c r="F33" s="17">
        <f t="shared" si="2"/>
        <v>18700</v>
      </c>
      <c r="G33" s="19"/>
      <c r="H33" s="20">
        <f t="shared" si="0"/>
        <v>59400</v>
      </c>
      <c r="I33" s="23">
        <f t="shared" si="1"/>
        <v>4950</v>
      </c>
      <c r="J33" s="22">
        <v>4950</v>
      </c>
    </row>
    <row r="34" spans="2:10" ht="16.5" thickBot="1" x14ac:dyDescent="0.3">
      <c r="B34" s="8"/>
      <c r="C34" s="9"/>
      <c r="D34" s="30"/>
      <c r="E34" s="10"/>
      <c r="F34" s="9"/>
      <c r="G34" s="11"/>
      <c r="H34" s="20">
        <f t="shared" si="0"/>
        <v>0</v>
      </c>
      <c r="I34" s="21">
        <f t="shared" si="1"/>
        <v>0</v>
      </c>
      <c r="J34" s="22"/>
    </row>
    <row r="35" spans="2:10" ht="16.5" thickBot="1" x14ac:dyDescent="0.3">
      <c r="B35" s="8" t="s">
        <v>34</v>
      </c>
      <c r="C35" s="9">
        <v>10000</v>
      </c>
      <c r="D35" s="30">
        <v>14000</v>
      </c>
      <c r="E35" s="10">
        <v>3650</v>
      </c>
      <c r="F35" s="9">
        <f t="shared" si="2"/>
        <v>27650</v>
      </c>
      <c r="G35" s="11"/>
      <c r="H35" s="20">
        <f t="shared" si="0"/>
        <v>67800</v>
      </c>
      <c r="I35" s="21">
        <f t="shared" si="1"/>
        <v>5650</v>
      </c>
      <c r="J35" s="22"/>
    </row>
    <row r="36" spans="2:10" ht="16.5" thickBot="1" x14ac:dyDescent="0.3">
      <c r="B36" s="8" t="s">
        <v>35</v>
      </c>
      <c r="C36" s="9">
        <v>0</v>
      </c>
      <c r="D36" s="30">
        <v>14000</v>
      </c>
      <c r="E36" s="10">
        <v>3650</v>
      </c>
      <c r="F36" s="9">
        <f t="shared" si="2"/>
        <v>17650</v>
      </c>
      <c r="G36" s="11"/>
      <c r="H36" s="20">
        <f t="shared" si="0"/>
        <v>57800</v>
      </c>
      <c r="I36" s="23">
        <f t="shared" si="1"/>
        <v>4816.666666666667</v>
      </c>
      <c r="J36" s="22">
        <v>4850</v>
      </c>
    </row>
    <row r="37" spans="2:10" ht="16.5" thickBot="1" x14ac:dyDescent="0.3">
      <c r="B37" s="16" t="s">
        <v>36</v>
      </c>
      <c r="C37" s="17">
        <v>10000</v>
      </c>
      <c r="D37" s="30">
        <v>14000</v>
      </c>
      <c r="E37" s="18">
        <v>3900</v>
      </c>
      <c r="F37" s="17">
        <f t="shared" si="2"/>
        <v>27900</v>
      </c>
      <c r="G37" s="19"/>
      <c r="H37" s="20">
        <f t="shared" si="0"/>
        <v>70800</v>
      </c>
      <c r="I37" s="21">
        <f t="shared" si="1"/>
        <v>5900</v>
      </c>
      <c r="J37" s="22"/>
    </row>
    <row r="38" spans="2:10" ht="16.5" thickBot="1" x14ac:dyDescent="0.3">
      <c r="B38" s="16" t="s">
        <v>37</v>
      </c>
      <c r="C38" s="17"/>
      <c r="D38" s="30">
        <v>14000</v>
      </c>
      <c r="E38" s="18">
        <v>3900</v>
      </c>
      <c r="F38" s="17">
        <f t="shared" si="2"/>
        <v>17900</v>
      </c>
      <c r="G38" s="19"/>
      <c r="H38" s="20">
        <f t="shared" si="0"/>
        <v>60800</v>
      </c>
      <c r="I38" s="23">
        <f t="shared" si="1"/>
        <v>5066.666666666667</v>
      </c>
      <c r="J38" s="22">
        <v>5100</v>
      </c>
    </row>
    <row r="39" spans="2:10" ht="16.5" thickBot="1" x14ac:dyDescent="0.3">
      <c r="B39" s="8" t="s">
        <v>38</v>
      </c>
      <c r="C39" s="9">
        <v>20000</v>
      </c>
      <c r="D39" s="30">
        <v>16500</v>
      </c>
      <c r="E39" s="10">
        <v>3800</v>
      </c>
      <c r="F39" s="9">
        <f t="shared" si="2"/>
        <v>40300</v>
      </c>
      <c r="G39" s="11"/>
      <c r="H39" s="20">
        <f t="shared" si="0"/>
        <v>82100</v>
      </c>
      <c r="I39" s="21">
        <f t="shared" si="1"/>
        <v>6841.666666666667</v>
      </c>
      <c r="J39" s="22"/>
    </row>
    <row r="40" spans="2:10" ht="16.5" thickBot="1" x14ac:dyDescent="0.3">
      <c r="B40" s="8" t="s">
        <v>39</v>
      </c>
      <c r="C40" s="33">
        <v>0</v>
      </c>
      <c r="D40" s="30">
        <v>16500</v>
      </c>
      <c r="E40" s="34">
        <v>3800</v>
      </c>
      <c r="F40" s="33">
        <f t="shared" si="2"/>
        <v>20300</v>
      </c>
      <c r="G40" s="11"/>
      <c r="H40" s="20">
        <f t="shared" si="0"/>
        <v>62100</v>
      </c>
      <c r="I40" s="23">
        <f t="shared" si="1"/>
        <v>5175</v>
      </c>
      <c r="J40" s="22">
        <v>5200</v>
      </c>
    </row>
    <row r="41" spans="2:10" ht="16.5" thickBot="1" x14ac:dyDescent="0.3">
      <c r="B41" s="35" t="s">
        <v>40</v>
      </c>
      <c r="C41" s="36">
        <v>20000</v>
      </c>
      <c r="D41" s="30">
        <v>16500</v>
      </c>
      <c r="E41" s="37">
        <v>4000</v>
      </c>
      <c r="F41" s="36">
        <f t="shared" si="2"/>
        <v>40500</v>
      </c>
      <c r="G41" s="36"/>
      <c r="H41" s="20">
        <f t="shared" si="0"/>
        <v>84500</v>
      </c>
      <c r="I41" s="21">
        <f t="shared" si="1"/>
        <v>7041.666666666667</v>
      </c>
      <c r="J41" s="22"/>
    </row>
    <row r="42" spans="2:10" ht="16.5" thickBot="1" x14ac:dyDescent="0.3">
      <c r="B42" s="35" t="s">
        <v>41</v>
      </c>
      <c r="C42" s="36">
        <v>0</v>
      </c>
      <c r="D42" s="30">
        <v>16500</v>
      </c>
      <c r="E42" s="37">
        <v>4000</v>
      </c>
      <c r="F42" s="36">
        <f t="shared" si="2"/>
        <v>20500</v>
      </c>
      <c r="G42" s="36"/>
      <c r="H42" s="20">
        <f t="shared" si="0"/>
        <v>64500</v>
      </c>
      <c r="I42" s="23">
        <f t="shared" si="1"/>
        <v>5375</v>
      </c>
      <c r="J42" s="22">
        <v>5400</v>
      </c>
    </row>
  </sheetData>
  <mergeCells count="1">
    <mergeCell ref="H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model</dc:creator>
  <cp:lastModifiedBy>Admin</cp:lastModifiedBy>
  <cp:lastPrinted>2023-03-14T08:52:28Z</cp:lastPrinted>
  <dcterms:created xsi:type="dcterms:W3CDTF">2023-02-06T07:23:29Z</dcterms:created>
  <dcterms:modified xsi:type="dcterms:W3CDTF">2023-03-14T08:52:43Z</dcterms:modified>
</cp:coreProperties>
</file>